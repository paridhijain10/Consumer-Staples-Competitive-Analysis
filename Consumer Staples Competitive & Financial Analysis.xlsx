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Financial Performance" sheetId="2" r:id="rId6"/>
    <sheet state="visible" name="Profitability" sheetId="3" r:id="rId7"/>
    <sheet state="visible" name="Leverage" sheetId="4" r:id="rId8"/>
    <sheet state="visible" name="Valuation" sheetId="5" r:id="rId9"/>
    <sheet state="visible" name="Rankings" sheetId="6" r:id="rId10"/>
    <sheet state="visible" name="Data" sheetId="7" r:id="rId11"/>
    <sheet state="visible" name="Methodology" sheetId="8" r:id="rId12"/>
  </sheets>
  <definedNames/>
  <calcPr/>
</workbook>
</file>

<file path=xl/sharedStrings.xml><?xml version="1.0" encoding="utf-8"?>
<sst xmlns="http://schemas.openxmlformats.org/spreadsheetml/2006/main" count="202" uniqueCount="94">
  <si>
    <t>Profitability &amp; Efficiency</t>
  </si>
  <si>
    <t>Company</t>
  </si>
  <si>
    <t>ROIC</t>
  </si>
  <si>
    <t>Asset Turnover</t>
  </si>
  <si>
    <t>Colgate-Palmolive</t>
  </si>
  <si>
    <t>Procter &amp; Gamble</t>
  </si>
  <si>
    <t>Coca-Cola</t>
  </si>
  <si>
    <t>PepsiCo</t>
  </si>
  <si>
    <t>Mondelez</t>
  </si>
  <si>
    <t>Financial Health</t>
  </si>
  <si>
    <t>Debt / EBITDA</t>
  </si>
  <si>
    <t>Debt / Equity</t>
  </si>
  <si>
    <t>Interest Coverage</t>
  </si>
  <si>
    <t>Financial Performance</t>
  </si>
  <si>
    <t>Revenue Growth</t>
  </si>
  <si>
    <t>EBIT Margin</t>
  </si>
  <si>
    <t>Net Margin</t>
  </si>
  <si>
    <t>FCF Margin</t>
  </si>
  <si>
    <t>CONSUMER STAPLES - COMPETITIVE &amp; FINANCIAL ANALYSIS</t>
  </si>
  <si>
    <t>FY2025 Peer Comparison | Financial Quality, Competitive Position &amp; Valuation</t>
  </si>
  <si>
    <t>FINANCIAL QUALITY RANKING</t>
  </si>
  <si>
    <t>VALUATION SNAPSHOT</t>
  </si>
  <si>
    <t>ROIC vs EV/EBITDA</t>
  </si>
  <si>
    <t>Rank</t>
  </si>
  <si>
    <t>EV / EBITDA</t>
  </si>
  <si>
    <t>P/E</t>
  </si>
  <si>
    <t>FCF Yield</t>
  </si>
  <si>
    <t>LABEL</t>
  </si>
  <si>
    <t>P&amp;G</t>
  </si>
  <si>
    <t>Overall Company Ranking</t>
  </si>
  <si>
    <t>Growth Rank</t>
  </si>
  <si>
    <t>EBIT Rank</t>
  </si>
  <si>
    <t>ROIC Rank</t>
  </si>
  <si>
    <t>FCF Rank</t>
  </si>
  <si>
    <t>Asset Turnover Rank</t>
  </si>
  <si>
    <t>Interest Coverage Rank</t>
  </si>
  <si>
    <t>Debt/EBITDA Rank</t>
  </si>
  <si>
    <t>Average Rank</t>
  </si>
  <si>
    <t>Overall Rank</t>
  </si>
  <si>
    <t>Growth vs Valuation</t>
  </si>
  <si>
    <t>ANALYST TAKEAWAY</t>
  </si>
  <si>
    <t>FINANCIAL QUALITY</t>
  </si>
  <si>
    <t>Colgate-Palmolive ranks #1 in the composite financial-quality assessment, supported by its leading ROIC, strong FCF margin and asset efficiency. P&amp;G ranks #2, supported by strong margins and interest coverage.</t>
  </si>
  <si>
    <t>VALUATION</t>
  </si>
  <si>
    <t xml:space="preserve">Coca-Cola trades at the highest EV/EBITDA multiple in the peer group at 21.9x, while PepsiCo has the lowest at 14.8x. Colgate-Palmolive trades at a 19.6x EV/EBITDA multiple, reflecting a premium relative to </t>
  </si>
  <si>
    <t>PepsiCo and P&amp;G and supported by its superior ROIC and overall financial-quality ranking.</t>
  </si>
  <si>
    <t>Mondelez combines the strongest revenue growth with a 19.8x EV/EBITDA multiple, but its lower ROIC indicates that the market is placing a relatively high valuation on growth despite weaker current capital efficiency.</t>
  </si>
  <si>
    <t>CONCLUSION</t>
  </si>
  <si>
    <t>Competitive Positioning</t>
  </si>
  <si>
    <t>Valuation Analysis</t>
  </si>
  <si>
    <t>Colgate-Palmolive demonstrates the strongest overall financial profile, although its premium valuation suggests that investors already price in a significant portion of its superior capital efficiency.</t>
  </si>
  <si>
    <t xml:space="preserve">Market data as of September 4, 2026 </t>
  </si>
  <si>
    <t>Financial data: FY2025</t>
  </si>
  <si>
    <t>Key Strength</t>
  </si>
  <si>
    <t>Key Weakness</t>
  </si>
  <si>
    <t>KEY FINDING</t>
  </si>
  <si>
    <t>Capital efficiency</t>
  </si>
  <si>
    <t>Premium valuation</t>
  </si>
  <si>
    <t>Colgate-Palmolive ranks #1 in financial quality, while Mondelez leads growth and PepsiCo offers the lowest EV/EBITDA multiple.</t>
  </si>
  <si>
    <t>Margin + financial stability</t>
  </si>
  <si>
    <t>Low growth</t>
  </si>
  <si>
    <t>Ticker</t>
  </si>
  <si>
    <t>Strong margins/brand economics</t>
  </si>
  <si>
    <t>Diversification + reasonable valuation</t>
  </si>
  <si>
    <t>P E</t>
  </si>
  <si>
    <t>Higher leverage</t>
  </si>
  <si>
    <t>EV EBITDA</t>
  </si>
  <si>
    <t>P S</t>
  </si>
  <si>
    <t>Highest growth</t>
  </si>
  <si>
    <t>Lower ROIC</t>
  </si>
  <si>
    <t>PG</t>
  </si>
  <si>
    <t>KO</t>
  </si>
  <si>
    <t>PEP</t>
  </si>
  <si>
    <t>CL</t>
  </si>
  <si>
    <t>MDLZ</t>
  </si>
  <si>
    <t>ROE</t>
  </si>
  <si>
    <t>Debt to EBITDA</t>
  </si>
  <si>
    <t>Debt to Equity</t>
  </si>
  <si>
    <t>Methodology</t>
  </si>
  <si>
    <t>Objective</t>
  </si>
  <si>
    <t>Compare the financial quality, operating efficiency, leverage and relative valuation of five major consumer-staples companies using FY2025 financial data.</t>
  </si>
  <si>
    <t>Companies</t>
  </si>
  <si>
    <t>Financial quality score</t>
  </si>
  <si>
    <t>Companies are ranked across seven metrics. Higher values receive better ranks for growth, profitability, cash generation, efficiency and interest coverage. Lower Debt/EBITDA receives a better rank. The average of the seven metric ranks determines the overall financial-quality ranking.</t>
  </si>
  <si>
    <t>ROIC is calculated as EBIT divided by year-end invested capital (equity + debt − cash) and is used as a simplified capital-efficiency measure.</t>
  </si>
  <si>
    <t>ROE treatment</t>
  </si>
  <si>
    <t>ROE was excluded from the composite ranking because unusually low book equity can make the ratio economically misleading for certain companies in the peer group.</t>
  </si>
  <si>
    <t>Valuation</t>
  </si>
  <si>
    <t>Valuation multiples compare market-based valuation with FY2025 financial performance. Market data should be interpreted relative to the valuation date.</t>
  </si>
  <si>
    <t>Data Sources</t>
  </si>
  <si>
    <r>
      <rPr>
        <rFont val="Arial"/>
        <b/>
        <color rgb="FF000000"/>
        <sz val="11.0"/>
      </rPr>
      <t xml:space="preserve">Financial statements: </t>
    </r>
    <r>
      <rPr>
        <rFont val="Arial"/>
        <b val="0"/>
        <color rgb="FF000000"/>
        <sz val="11.0"/>
      </rPr>
      <t>Yahoo Finance company financial data / publicly reported FY2025 financial statements</t>
    </r>
  </si>
  <si>
    <r>
      <rPr>
        <rFont val="Arial"/>
        <b/>
        <color rgb="FF000000"/>
        <sz val="11.0"/>
      </rPr>
      <t xml:space="preserve">Market data: </t>
    </r>
    <r>
      <rPr>
        <rFont val="Arial"/>
        <b val="0"/>
        <color rgb="FF000000"/>
        <sz val="11.0"/>
      </rPr>
      <t>Yahoo Finance historical prices and market data</t>
    </r>
  </si>
  <si>
    <r>
      <rPr>
        <rFont val="Arial"/>
        <b/>
        <color rgb="FF000000"/>
        <sz val="11.0"/>
      </rPr>
      <t xml:space="preserve">Analysis period: </t>
    </r>
    <r>
      <rPr>
        <rFont val="Arial"/>
        <b val="0"/>
        <color rgb="FF000000"/>
        <sz val="11.0"/>
      </rPr>
      <t>FY2025</t>
    </r>
  </si>
  <si>
    <r>
      <rPr>
        <rFont val="Arial"/>
        <b/>
        <color rgb="FF000000"/>
        <sz val="11.0"/>
      </rPr>
      <t xml:space="preserve">Market valuation date: </t>
    </r>
    <r>
      <rPr>
        <rFont val="Arial"/>
        <b val="0"/>
        <color rgb="FF000000"/>
        <sz val="11.0"/>
      </rPr>
      <t>2026-09-04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</si>
</sst>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&quot;%&quot;"/>
    <numFmt numFmtId="165" formatCode="0.00&quot;x&quot;"/>
    <numFmt numFmtId="166" formatCode="0.0&quot;x&quot;"/>
    <numFmt numFmtId="167" formatCode="0.0x"/>
  </numFmts>
  <fonts count="20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7.0"/>
      <color rgb="FF000000"/>
      <name val="Arial"/>
      <scheme val="minor"/>
    </font>
    <font>
      <i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Arial"/>
      <scheme val="minor"/>
    </font>
    <font>
      <sz val="11.0"/>
      <color theme="1"/>
      <name val="Arial"/>
    </font>
    <font>
      <b/>
      <sz val="12.0"/>
      <color rgb="FF000000"/>
      <name val="Arial"/>
      <scheme val="minor"/>
    </font>
    <font>
      <i/>
      <sz val="11.0"/>
      <color rgb="FF000000"/>
      <name val="Arial"/>
      <scheme val="minor"/>
    </font>
    <font>
      <i/>
      <sz val="11.0"/>
      <color theme="1"/>
      <name val="Arial"/>
      <scheme val="minor"/>
    </font>
    <font>
      <b/>
      <sz val="13.0"/>
      <color rgb="FF000000"/>
      <name val="Arial"/>
      <scheme val="minor"/>
    </font>
    <font>
      <b/>
      <sz val="11.0"/>
      <color rgb="FF000000"/>
      <name val="&quot;Helvetica Neue&quot;"/>
    </font>
    <font>
      <sz val="11.0"/>
      <color rgb="FF000000"/>
      <name val="&quot;Helvetica Neue&quot;"/>
    </font>
    <font>
      <sz val="10.0"/>
      <color theme="1"/>
      <name val="Arial"/>
      <scheme val="minor"/>
    </font>
    <font>
      <b/>
      <sz val="15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1" fillId="0" fontId="3" numFmtId="165" xfId="0" applyBorder="1" applyFont="1" applyNumberFormat="1"/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3" numFmtId="0" xfId="0" applyFont="1"/>
    <xf borderId="1" fillId="0" fontId="3" numFmtId="166" xfId="0" applyBorder="1" applyFont="1" applyNumberFormat="1"/>
    <xf borderId="1" fillId="0" fontId="3" numFmtId="167" xfId="0" applyBorder="1" applyFont="1" applyNumberFormat="1"/>
    <xf borderId="1" fillId="0" fontId="8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vertical="bottom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vertical="bottom"/>
    </xf>
    <xf borderId="0" fillId="0" fontId="8" numFmtId="0" xfId="0" applyAlignment="1" applyFont="1">
      <alignment readingOrder="0"/>
    </xf>
    <xf borderId="1" fillId="0" fontId="3" numFmtId="0" xfId="0" applyBorder="1" applyFont="1"/>
    <xf borderId="0" fillId="0" fontId="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1" fillId="0" fontId="8" numFmtId="0" xfId="0" applyAlignment="1" applyBorder="1" applyFont="1">
      <alignment readingOrder="0" shrinkToFit="0" wrapText="0"/>
    </xf>
    <xf borderId="1" fillId="0" fontId="16" numFmtId="0" xfId="0" applyAlignment="1" applyBorder="1" applyFont="1">
      <alignment readingOrder="0" vertical="top"/>
    </xf>
    <xf borderId="1" fillId="0" fontId="17" numFmtId="0" xfId="0" applyAlignment="1" applyBorder="1" applyFont="1">
      <alignment readingOrder="0" vertical="top"/>
    </xf>
    <xf borderId="1" fillId="0" fontId="17" numFmtId="164" xfId="0" applyAlignment="1" applyBorder="1" applyFont="1" applyNumberFormat="1">
      <alignment readingOrder="0" vertical="top"/>
    </xf>
    <xf borderId="1" fillId="0" fontId="17" numFmtId="167" xfId="0" applyAlignment="1" applyBorder="1" applyFont="1" applyNumberFormat="1">
      <alignment readingOrder="0" vertical="top"/>
    </xf>
    <xf borderId="1" fillId="0" fontId="3" numFmtId="4" xfId="0" applyBorder="1" applyFont="1" applyNumberFormat="1"/>
    <xf borderId="0" fillId="0" fontId="18" numFmtId="0" xfId="0" applyFont="1"/>
    <xf borderId="0" fillId="0" fontId="19" numFmtId="0" xfId="0" applyAlignment="1" applyFont="1">
      <alignment horizontal="center"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ROIC vs EV/EBITDA - Quality vs Valuation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Dashboard!$P$5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Dashboard!$O$6:$O$10</c:f>
            </c:numRef>
          </c:xVal>
          <c:yVal>
            <c:numRef>
              <c:f>Dashboard!$P$6:$P$10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489269"/>
        <c:axId val="2029081559"/>
      </c:scatterChart>
      <c:valAx>
        <c:axId val="6134892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081559"/>
      </c:valAx>
      <c:valAx>
        <c:axId val="2029081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489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Growth vs EV/EBITDA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Dashboard!$P$13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Dashboard!$O$14:$O$18</c:f>
            </c:numRef>
          </c:xVal>
          <c:yVal>
            <c:numRef>
              <c:f>Dashboard!$P$14:$P$18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329411"/>
        <c:axId val="632693173"/>
      </c:scatterChart>
      <c:valAx>
        <c:axId val="21163294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693173"/>
      </c:valAx>
      <c:valAx>
        <c:axId val="632693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329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Growth by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Performance'!$B$3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'Financial Performance'!$A$4:$A$8</c:f>
            </c:strRef>
          </c:cat>
          <c:val>
            <c:numRef>
              <c:f>'Financial Performance'!$B$4:$B$8</c:f>
              <c:numCache/>
            </c:numRef>
          </c:val>
        </c:ser>
        <c:axId val="1169740834"/>
        <c:axId val="79456727"/>
      </c:barChart>
      <c:catAx>
        <c:axId val="1169740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456727"/>
      </c:catAx>
      <c:valAx>
        <c:axId val="79456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740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Profitability &amp; Cash Flow Margins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Performance'!$B$3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'Financial Performance'!$A$4:$A$8</c:f>
            </c:strRef>
          </c:cat>
          <c:val>
            <c:numRef>
              <c:f>'Financial Performance'!$B$4:$B$8</c:f>
              <c:numCache/>
            </c:numRef>
          </c:val>
        </c:ser>
        <c:ser>
          <c:idx val="1"/>
          <c:order val="1"/>
          <c:tx>
            <c:strRef>
              <c:f>'Financial Performance'!$C$3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'Financial Performance'!$A$4:$A$8</c:f>
            </c:strRef>
          </c:cat>
          <c:val>
            <c:numRef>
              <c:f>'Financial Performance'!$C$4:$C$8</c:f>
              <c:numCache/>
            </c:numRef>
          </c:val>
        </c:ser>
        <c:ser>
          <c:idx val="2"/>
          <c:order val="2"/>
          <c:tx>
            <c:strRef>
              <c:f>'Financial Performance'!$D$3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'Financial Performance'!$A$4:$A$8</c:f>
            </c:strRef>
          </c:cat>
          <c:val>
            <c:numRef>
              <c:f>'Financial Performance'!$D$4:$D$8</c:f>
              <c:numCache/>
            </c:numRef>
          </c:val>
        </c:ser>
        <c:ser>
          <c:idx val="3"/>
          <c:order val="3"/>
          <c:tx>
            <c:strRef>
              <c:f>'Financial Performance'!$E$3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'Financial Performance'!$A$4:$A$8</c:f>
            </c:strRef>
          </c:cat>
          <c:val>
            <c:numRef>
              <c:f>'Financial Performance'!$E$4:$E$8</c:f>
              <c:numCache/>
            </c:numRef>
          </c:val>
        </c:ser>
        <c:axId val="723025077"/>
        <c:axId val="1837463161"/>
      </c:barChart>
      <c:catAx>
        <c:axId val="723025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463161"/>
      </c:catAx>
      <c:valAx>
        <c:axId val="1837463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025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ROIC Comparison - FY2025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Profitability!$B$3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Profitability!$A$4:$A$8</c:f>
            </c:strRef>
          </c:cat>
          <c:val>
            <c:numRef>
              <c:f>Profitability!$B$4:$B$8</c:f>
              <c:numCache/>
            </c:numRef>
          </c:val>
        </c:ser>
        <c:axId val="1904509977"/>
        <c:axId val="1711633186"/>
      </c:barChart>
      <c:catAx>
        <c:axId val="1904509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633186"/>
      </c:catAx>
      <c:valAx>
        <c:axId val="1711633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509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Debt / EBITDA - FY2025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Leverage!$B$3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Leverage!$A$4:$A$8</c:f>
            </c:strRef>
          </c:cat>
          <c:val>
            <c:numRef>
              <c:f>Leverage!$B$4:$B$8</c:f>
              <c:numCache/>
            </c:numRef>
          </c:val>
        </c:ser>
        <c:axId val="930185775"/>
        <c:axId val="1739737388"/>
      </c:barChart>
      <c:catAx>
        <c:axId val="930185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737388"/>
      </c:catAx>
      <c:valAx>
        <c:axId val="1739737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185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Interest Coverage - FY2025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Leverage!$D$3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Leverage!$A$4:$A$8</c:f>
            </c:strRef>
          </c:cat>
          <c:val>
            <c:numRef>
              <c:f>Leverage!$D$4:$D$8</c:f>
              <c:numCache/>
            </c:numRef>
          </c:val>
        </c:ser>
        <c:axId val="500536782"/>
        <c:axId val="520483329"/>
      </c:barChart>
      <c:catAx>
        <c:axId val="500536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483329"/>
      </c:catAx>
      <c:valAx>
        <c:axId val="520483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Interest Coverage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536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EV/EBITDA Valuation - FY2025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Valuation!$F$4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Valuation!$A$5:$A$9</c:f>
            </c:strRef>
          </c:cat>
          <c:val>
            <c:numRef>
              <c:f>Valuation!$F$5:$F$9</c:f>
              <c:numCache/>
            </c:numRef>
          </c:val>
        </c:ser>
        <c:axId val="1511366784"/>
        <c:axId val="202188722"/>
      </c:barChart>
      <c:catAx>
        <c:axId val="1511366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88722"/>
      </c:catAx>
      <c:valAx>
        <c:axId val="202188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EV_EBITDA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366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Free Cash Flow Yield - FY2025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Valuation!$H$4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Valuation!$A$5:$A$9</c:f>
            </c:strRef>
          </c:cat>
          <c:val>
            <c:numRef>
              <c:f>Valuation!$H$5:$H$9</c:f>
              <c:numCache/>
            </c:numRef>
          </c:val>
        </c:ser>
        <c:axId val="1884650483"/>
        <c:axId val="595813861"/>
      </c:barChart>
      <c:catAx>
        <c:axId val="1884650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813861"/>
      </c:catAx>
      <c:valAx>
        <c:axId val="595813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FCF_Yield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650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24</xdr:row>
      <xdr:rowOff>209550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819150</xdr:colOff>
      <xdr:row>24</xdr:row>
      <xdr:rowOff>209550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9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590550</xdr:colOff>
      <xdr:row>9</xdr:row>
      <xdr:rowOff>47625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9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9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790575</xdr:colOff>
      <xdr:row>9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10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914400</xdr:colOff>
      <xdr:row>10</xdr:row>
      <xdr:rowOff>38100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0"/>
    <col customWidth="1" min="2" max="2" width="15.63"/>
    <col customWidth="1" min="5" max="5" width="14.88"/>
    <col customWidth="1" min="8" max="8" width="16.5"/>
    <col customWidth="1" min="14" max="14" width="20.88"/>
    <col customWidth="1" min="15" max="15" width="32.13"/>
    <col customWidth="1" min="16" max="16" width="26.13"/>
    <col customWidth="1" min="17" max="17" width="19.13"/>
    <col customWidth="1" min="18" max="18" width="13.5"/>
  </cols>
  <sheetData>
    <row r="1">
      <c r="A1" s="7" t="s">
        <v>18</v>
      </c>
    </row>
    <row r="2">
      <c r="A2" s="8" t="s">
        <v>19</v>
      </c>
    </row>
    <row r="4">
      <c r="A4" s="9" t="s">
        <v>20</v>
      </c>
      <c r="B4" s="10"/>
      <c r="C4" s="10"/>
      <c r="D4" s="10"/>
      <c r="E4" s="10"/>
      <c r="F4" s="10"/>
      <c r="G4" s="10"/>
      <c r="H4" s="9" t="s">
        <v>21</v>
      </c>
      <c r="I4" s="10"/>
      <c r="J4" s="10"/>
      <c r="K4" s="10"/>
      <c r="N4" s="9" t="s">
        <v>22</v>
      </c>
      <c r="O4" s="10"/>
      <c r="P4" s="10"/>
    </row>
    <row r="5">
      <c r="A5" s="2" t="s">
        <v>23</v>
      </c>
      <c r="B5" s="2" t="s">
        <v>1</v>
      </c>
      <c r="C5" s="2" t="s">
        <v>2</v>
      </c>
      <c r="D5" s="2" t="s">
        <v>15</v>
      </c>
      <c r="E5" s="2" t="s">
        <v>14</v>
      </c>
      <c r="F5" s="2" t="s">
        <v>17</v>
      </c>
      <c r="G5" s="10"/>
      <c r="H5" s="2" t="s">
        <v>1</v>
      </c>
      <c r="I5" s="2" t="s">
        <v>24</v>
      </c>
      <c r="J5" s="2" t="s">
        <v>25</v>
      </c>
      <c r="K5" s="2" t="s">
        <v>26</v>
      </c>
      <c r="N5" s="2" t="s">
        <v>1</v>
      </c>
      <c r="O5" s="2" t="s">
        <v>2</v>
      </c>
      <c r="P5" s="2" t="s">
        <v>24</v>
      </c>
      <c r="Q5" s="2" t="s">
        <v>27</v>
      </c>
    </row>
    <row r="6">
      <c r="A6" s="3">
        <v>1.0</v>
      </c>
      <c r="B6" s="3" t="s">
        <v>4</v>
      </c>
      <c r="C6" s="4">
        <f>Data!H2</f>
        <v>57.82786885</v>
      </c>
      <c r="D6" s="4">
        <f>Data!D2</f>
        <v>20.76832499</v>
      </c>
      <c r="E6" s="4">
        <f>Data!C2</f>
        <v>1.397940401</v>
      </c>
      <c r="F6" s="4">
        <f>Data!F2</f>
        <v>17.82945736</v>
      </c>
      <c r="G6" s="10"/>
      <c r="H6" s="3" t="s">
        <v>5</v>
      </c>
      <c r="I6" s="11">
        <f>Valuation!F5</f>
        <v>15.31955027</v>
      </c>
      <c r="J6" s="11">
        <f>Valuation!E5</f>
        <v>21.29285933</v>
      </c>
      <c r="K6" s="4">
        <f>Valuation!H5</f>
        <v>4.12898358</v>
      </c>
      <c r="N6" s="3" t="s">
        <v>5</v>
      </c>
      <c r="O6" s="4">
        <f>Valuation!D5</f>
        <v>26.24648674</v>
      </c>
      <c r="P6" s="12">
        <f>Valuation!F5</f>
        <v>15.31955027</v>
      </c>
      <c r="Q6" s="13" t="s">
        <v>28</v>
      </c>
    </row>
    <row r="7">
      <c r="A7" s="3">
        <v>2.0</v>
      </c>
      <c r="B7" s="3" t="s">
        <v>5</v>
      </c>
      <c r="C7" s="4">
        <f>Data!H3</f>
        <v>26.24648674</v>
      </c>
      <c r="D7" s="4">
        <f>Data!D3</f>
        <v>24.26439182</v>
      </c>
      <c r="E7" s="4">
        <f>Data!C3</f>
        <v>0.2915313128</v>
      </c>
      <c r="F7" s="4">
        <f>Data!F3</f>
        <v>16.66271178</v>
      </c>
      <c r="G7" s="10"/>
      <c r="H7" s="3" t="s">
        <v>6</v>
      </c>
      <c r="I7" s="11">
        <f>Valuation!F6</f>
        <v>21.86827724</v>
      </c>
      <c r="J7" s="11">
        <f>Valuation!E6</f>
        <v>28.91016113</v>
      </c>
      <c r="K7" s="4">
        <f>Valuation!H6</f>
        <v>1.397636277</v>
      </c>
      <c r="N7" s="3" t="s">
        <v>6</v>
      </c>
      <c r="O7" s="4">
        <f>Valuation!D6</f>
        <v>24.10637782</v>
      </c>
      <c r="P7" s="12">
        <f>Valuation!F6</f>
        <v>21.86827724</v>
      </c>
      <c r="Q7" s="13" t="s">
        <v>6</v>
      </c>
    </row>
    <row r="8">
      <c r="A8" s="3">
        <v>3.0</v>
      </c>
      <c r="B8" s="3" t="s">
        <v>6</v>
      </c>
      <c r="C8" s="4">
        <f>Data!H4</f>
        <v>24.10637782</v>
      </c>
      <c r="D8" s="4">
        <f>Data!D4</f>
        <v>31.10281388</v>
      </c>
      <c r="E8" s="4">
        <f>Data!C4</f>
        <v>1.869913516</v>
      </c>
      <c r="F8" s="4">
        <f>Data!F4</f>
        <v>11.04691183</v>
      </c>
      <c r="G8" s="10"/>
      <c r="H8" s="3" t="s">
        <v>7</v>
      </c>
      <c r="I8" s="11">
        <f>Valuation!F7</f>
        <v>14.83111556</v>
      </c>
      <c r="J8" s="11">
        <f>Valuation!E7</f>
        <v>22.81584739</v>
      </c>
      <c r="K8" s="4">
        <f>Valuation!H7</f>
        <v>4.080795007</v>
      </c>
      <c r="N8" s="3" t="s">
        <v>7</v>
      </c>
      <c r="O8" s="4">
        <f>Valuation!D7</f>
        <v>22.19754183</v>
      </c>
      <c r="P8" s="12">
        <f>Valuation!F7</f>
        <v>14.83111556</v>
      </c>
      <c r="Q8" s="13" t="s">
        <v>7</v>
      </c>
    </row>
    <row r="9">
      <c r="A9" s="3">
        <v>4.0</v>
      </c>
      <c r="B9" s="3" t="s">
        <v>7</v>
      </c>
      <c r="C9" s="4">
        <f>Data!H5</f>
        <v>22.19754183</v>
      </c>
      <c r="D9" s="4">
        <f>Data!D5</f>
        <v>14.36358797</v>
      </c>
      <c r="E9" s="4">
        <f>Data!C5</f>
        <v>2.254665012</v>
      </c>
      <c r="F9" s="4">
        <f>Data!F5</f>
        <v>8.168219324</v>
      </c>
      <c r="G9" s="10"/>
      <c r="H9" s="3" t="s">
        <v>4</v>
      </c>
      <c r="I9" s="11">
        <f>Valuation!F8</f>
        <v>19.59025065</v>
      </c>
      <c r="J9" s="11">
        <f>Valuation!E8</f>
        <v>33.19185147</v>
      </c>
      <c r="K9" s="4">
        <f>Valuation!H8</f>
        <v>5.135305019</v>
      </c>
      <c r="N9" s="3" t="s">
        <v>4</v>
      </c>
      <c r="O9" s="4">
        <f>Valuation!D8</f>
        <v>57.82786885</v>
      </c>
      <c r="P9" s="12">
        <f>Valuation!F8</f>
        <v>19.59025065</v>
      </c>
      <c r="Q9" s="13" t="s">
        <v>4</v>
      </c>
    </row>
    <row r="10">
      <c r="A10" s="3">
        <v>5.0</v>
      </c>
      <c r="B10" s="3" t="s">
        <v>8</v>
      </c>
      <c r="C10" s="4">
        <f>Data!H6</f>
        <v>7.953072478</v>
      </c>
      <c r="D10" s="4">
        <f>Data!D6</f>
        <v>9.393569816</v>
      </c>
      <c r="E10" s="4">
        <f>Data!C6</f>
        <v>5.751763124</v>
      </c>
      <c r="F10" s="4">
        <f>Data!F6</f>
        <v>8.394529932</v>
      </c>
      <c r="G10" s="10"/>
      <c r="H10" s="3" t="s">
        <v>8</v>
      </c>
      <c r="I10" s="11">
        <f>Valuation!F9</f>
        <v>19.83668493</v>
      </c>
      <c r="J10" s="11">
        <f>Valuation!E9</f>
        <v>31.91030662</v>
      </c>
      <c r="K10" s="4">
        <f>Valuation!H9</f>
        <v>4.136185392</v>
      </c>
      <c r="N10" s="3" t="s">
        <v>8</v>
      </c>
      <c r="O10" s="4">
        <f>Valuation!D9</f>
        <v>7.953072478</v>
      </c>
      <c r="P10" s="12">
        <f>Valuation!F9</f>
        <v>19.83668493</v>
      </c>
      <c r="Q10" s="13" t="s">
        <v>8</v>
      </c>
    </row>
    <row r="11">
      <c r="N11" s="10"/>
      <c r="O11" s="10"/>
      <c r="P11" s="10"/>
      <c r="Q11" s="10"/>
    </row>
    <row r="12">
      <c r="N12" s="9" t="s">
        <v>39</v>
      </c>
      <c r="O12" s="10"/>
      <c r="P12" s="10"/>
      <c r="Q12" s="10"/>
    </row>
    <row r="13">
      <c r="A13" s="1" t="s">
        <v>40</v>
      </c>
      <c r="N13" s="2" t="s">
        <v>1</v>
      </c>
      <c r="O13" s="2" t="s">
        <v>14</v>
      </c>
      <c r="P13" s="2" t="s">
        <v>24</v>
      </c>
      <c r="Q13" s="15" t="s">
        <v>27</v>
      </c>
    </row>
    <row r="14">
      <c r="A14" s="16" t="s">
        <v>41</v>
      </c>
      <c r="N14" s="3" t="s">
        <v>5</v>
      </c>
      <c r="O14" s="4">
        <f>Valuation!C5</f>
        <v>0.2915313128</v>
      </c>
      <c r="P14" s="12">
        <f>Valuation!F5</f>
        <v>15.31955027</v>
      </c>
      <c r="Q14" s="17" t="s">
        <v>28</v>
      </c>
    </row>
    <row r="15">
      <c r="A15" s="18" t="s">
        <v>42</v>
      </c>
      <c r="N15" s="3" t="s">
        <v>6</v>
      </c>
      <c r="O15" s="4">
        <f>Valuation!C6</f>
        <v>1.869913516</v>
      </c>
      <c r="P15" s="12">
        <f>Valuation!F6</f>
        <v>21.86827724</v>
      </c>
      <c r="Q15" s="17" t="s">
        <v>6</v>
      </c>
    </row>
    <row r="16">
      <c r="A16" s="16" t="s">
        <v>43</v>
      </c>
      <c r="N16" s="3" t="s">
        <v>7</v>
      </c>
      <c r="O16" s="4">
        <f>Valuation!C7</f>
        <v>2.254665012</v>
      </c>
      <c r="P16" s="12">
        <f>Valuation!F7</f>
        <v>14.83111556</v>
      </c>
      <c r="Q16" s="17" t="s">
        <v>7</v>
      </c>
    </row>
    <row r="17">
      <c r="A17" s="18" t="s">
        <v>44</v>
      </c>
      <c r="N17" s="3" t="s">
        <v>4</v>
      </c>
      <c r="O17" s="4">
        <f>Valuation!C8</f>
        <v>1.397940401</v>
      </c>
      <c r="P17" s="12">
        <f>Valuation!F8</f>
        <v>19.59025065</v>
      </c>
      <c r="Q17" s="17" t="s">
        <v>4</v>
      </c>
    </row>
    <row r="18">
      <c r="A18" s="20" t="s">
        <v>45</v>
      </c>
      <c r="N18" s="3" t="s">
        <v>8</v>
      </c>
      <c r="O18" s="4">
        <f>Valuation!C9</f>
        <v>5.751763124</v>
      </c>
      <c r="P18" s="12">
        <f>Valuation!F9</f>
        <v>19.83668493</v>
      </c>
      <c r="Q18" s="17" t="s">
        <v>8</v>
      </c>
    </row>
    <row r="19">
      <c r="A19" s="18" t="s">
        <v>46</v>
      </c>
      <c r="N19" s="10"/>
      <c r="O19" s="10"/>
      <c r="P19" s="10"/>
      <c r="Q19" s="10"/>
    </row>
    <row r="20">
      <c r="A20" s="16" t="s">
        <v>47</v>
      </c>
      <c r="N20" s="21" t="s">
        <v>48</v>
      </c>
      <c r="O20" s="10"/>
      <c r="P20" s="10"/>
      <c r="Q20" s="10"/>
    </row>
    <row r="21">
      <c r="A21" s="18" t="s">
        <v>50</v>
      </c>
      <c r="N21" s="10"/>
      <c r="O21" s="10"/>
      <c r="P21" s="10"/>
      <c r="Q21" s="10"/>
    </row>
    <row r="22">
      <c r="N22" s="23" t="s">
        <v>1</v>
      </c>
      <c r="O22" s="23" t="s">
        <v>53</v>
      </c>
      <c r="P22" s="23" t="s">
        <v>54</v>
      </c>
      <c r="Q22" s="10"/>
    </row>
    <row r="23">
      <c r="A23" s="25" t="s">
        <v>55</v>
      </c>
      <c r="N23" s="26" t="s">
        <v>4</v>
      </c>
      <c r="O23" s="26" t="s">
        <v>56</v>
      </c>
      <c r="P23" s="26" t="s">
        <v>57</v>
      </c>
      <c r="Q23" s="10"/>
    </row>
    <row r="24">
      <c r="A24" s="9" t="s">
        <v>58</v>
      </c>
      <c r="N24" s="26" t="s">
        <v>28</v>
      </c>
      <c r="O24" s="26" t="s">
        <v>59</v>
      </c>
      <c r="P24" s="26" t="s">
        <v>60</v>
      </c>
      <c r="Q24" s="10"/>
    </row>
    <row r="25">
      <c r="N25" s="26" t="s">
        <v>6</v>
      </c>
      <c r="O25" s="26" t="s">
        <v>62</v>
      </c>
      <c r="P25" s="26" t="s">
        <v>57</v>
      </c>
      <c r="Q25" s="10"/>
    </row>
    <row r="26">
      <c r="N26" s="26" t="s">
        <v>7</v>
      </c>
      <c r="O26" s="26" t="s">
        <v>63</v>
      </c>
      <c r="P26" s="26" t="s">
        <v>65</v>
      </c>
      <c r="Q26" s="10"/>
    </row>
    <row r="27">
      <c r="N27" s="26" t="s">
        <v>8</v>
      </c>
      <c r="O27" s="26" t="s">
        <v>68</v>
      </c>
      <c r="P27" s="26" t="s">
        <v>69</v>
      </c>
      <c r="Q27" s="10"/>
    </row>
  </sheetData>
  <mergeCells count="12">
    <mergeCell ref="A18:M18"/>
    <mergeCell ref="A19:M19"/>
    <mergeCell ref="A20:M20"/>
    <mergeCell ref="A21:M21"/>
    <mergeCell ref="A24:H24"/>
    <mergeCell ref="A1:H1"/>
    <mergeCell ref="A2:H2"/>
    <mergeCell ref="A13:L13"/>
    <mergeCell ref="A14:L14"/>
    <mergeCell ref="A15:M15"/>
    <mergeCell ref="A16:L16"/>
    <mergeCell ref="A17:M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7.63"/>
    <col customWidth="1" min="3" max="3" width="13.75"/>
  </cols>
  <sheetData>
    <row r="1">
      <c r="A1" s="1" t="s">
        <v>13</v>
      </c>
    </row>
    <row r="3">
      <c r="A3" s="2" t="s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4</v>
      </c>
      <c r="B4" s="4">
        <f>Data!C2</f>
        <v>1.397940401</v>
      </c>
      <c r="C4" s="4">
        <f>Data!D2</f>
        <v>20.76832499</v>
      </c>
      <c r="D4" s="4">
        <f>Data!E2</f>
        <v>10.46020999</v>
      </c>
      <c r="E4" s="4">
        <f>Data!F2</f>
        <v>17.82945736</v>
      </c>
    </row>
    <row r="5">
      <c r="A5" s="3" t="s">
        <v>5</v>
      </c>
      <c r="B5" s="4">
        <f>Data!C3</f>
        <v>0.2915313128</v>
      </c>
      <c r="C5" s="4">
        <f>Data!D3</f>
        <v>24.26439182</v>
      </c>
      <c r="D5" s="4">
        <f>Data!E3</f>
        <v>18.95258887</v>
      </c>
      <c r="E5" s="4">
        <f>Data!F3</f>
        <v>16.66271178</v>
      </c>
    </row>
    <row r="6">
      <c r="A6" s="3" t="s">
        <v>6</v>
      </c>
      <c r="B6" s="4">
        <f>Data!C4</f>
        <v>1.869913516</v>
      </c>
      <c r="C6" s="4">
        <f>Data!D4</f>
        <v>31.10281388</v>
      </c>
      <c r="D6" s="4">
        <f>Data!E4</f>
        <v>27.33985524</v>
      </c>
      <c r="E6" s="4">
        <f>Data!F4</f>
        <v>11.04691183</v>
      </c>
    </row>
    <row r="7">
      <c r="A7" s="3" t="s">
        <v>7</v>
      </c>
      <c r="B7" s="4">
        <f>Data!C5</f>
        <v>2.254665012</v>
      </c>
      <c r="C7" s="4">
        <f>Data!D5</f>
        <v>14.36358797</v>
      </c>
      <c r="D7" s="4">
        <f>Data!E5</f>
        <v>8.772957147</v>
      </c>
      <c r="E7" s="4">
        <f>Data!F5</f>
        <v>8.168219324</v>
      </c>
    </row>
    <row r="8">
      <c r="A8" s="3" t="s">
        <v>8</v>
      </c>
      <c r="B8" s="4">
        <f>Data!C6</f>
        <v>5.751763124</v>
      </c>
      <c r="C8" s="4">
        <f>Data!D6</f>
        <v>9.393569816</v>
      </c>
      <c r="D8" s="4">
        <f>Data!E6</f>
        <v>6.360121442</v>
      </c>
      <c r="E8" s="4">
        <f>Data!F6</f>
        <v>8.394529932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5.3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4">
        <f>Data!H2</f>
        <v>57.82786885</v>
      </c>
      <c r="C4" s="5">
        <f>Data!I2</f>
        <v>1.248132272</v>
      </c>
    </row>
    <row r="5">
      <c r="A5" s="3" t="s">
        <v>5</v>
      </c>
      <c r="B5" s="4">
        <f>Data!H3</f>
        <v>26.24648674</v>
      </c>
      <c r="C5" s="5">
        <f>Data!I3</f>
        <v>0.6730282438</v>
      </c>
    </row>
    <row r="6">
      <c r="A6" s="3" t="s">
        <v>6</v>
      </c>
      <c r="B6" s="4">
        <f>Data!H4</f>
        <v>24.10637782</v>
      </c>
      <c r="C6" s="5">
        <f>Data!I4</f>
        <v>0.4573824607</v>
      </c>
    </row>
    <row r="7">
      <c r="A7" s="3" t="s">
        <v>7</v>
      </c>
      <c r="B7" s="4">
        <f>Data!H5</f>
        <v>22.19754183</v>
      </c>
      <c r="C7" s="5">
        <f>Data!I5</f>
        <v>0.8745425935</v>
      </c>
    </row>
    <row r="8">
      <c r="A8" s="3" t="s">
        <v>8</v>
      </c>
      <c r="B8" s="4">
        <f>Data!H6</f>
        <v>7.953072478</v>
      </c>
      <c r="C8" s="5">
        <f>Data!I6</f>
        <v>0.539077035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4.25"/>
    <col customWidth="1" min="3" max="3" width="13.63"/>
    <col customWidth="1" min="4" max="4" width="16.88"/>
  </cols>
  <sheetData>
    <row r="1">
      <c r="A1" s="1" t="s">
        <v>9</v>
      </c>
    </row>
    <row r="3">
      <c r="A3" s="2" t="s">
        <v>1</v>
      </c>
      <c r="B3" s="2" t="s">
        <v>10</v>
      </c>
      <c r="C3" s="2" t="s">
        <v>11</v>
      </c>
      <c r="D3" s="2" t="s">
        <v>12</v>
      </c>
    </row>
    <row r="4">
      <c r="A4" s="3" t="s">
        <v>4</v>
      </c>
      <c r="B4" s="5">
        <f>Data!K2</f>
        <v>2.162285137</v>
      </c>
      <c r="C4" s="5">
        <f>Data!L2</f>
        <v>158.4074074</v>
      </c>
      <c r="D4" s="5">
        <f>Data!J2</f>
        <v>15.85393258</v>
      </c>
    </row>
    <row r="5">
      <c r="A5" s="3" t="s">
        <v>5</v>
      </c>
      <c r="B5" s="5">
        <f>Data!K3</f>
        <v>1.482504912</v>
      </c>
      <c r="C5" s="5">
        <f>Data!L3</f>
        <v>0.6818234254</v>
      </c>
      <c r="D5" s="5">
        <f>Data!J3</f>
        <v>22.54796031</v>
      </c>
    </row>
    <row r="6">
      <c r="A6" s="3" t="s">
        <v>6</v>
      </c>
      <c r="B6" s="5">
        <f>Data!K4</f>
        <v>2.432467116</v>
      </c>
      <c r="C6" s="5">
        <f>Data!L4</f>
        <v>1.414156486</v>
      </c>
      <c r="D6" s="5">
        <f>Data!J4</f>
        <v>9.015114873</v>
      </c>
    </row>
    <row r="7">
      <c r="A7" s="3" t="s">
        <v>7</v>
      </c>
      <c r="B7" s="5">
        <f>Data!K5</f>
        <v>3.210512771</v>
      </c>
      <c r="C7" s="5">
        <f>Data!L5</f>
        <v>2.445408213</v>
      </c>
      <c r="D7" s="5">
        <f>Data!J5</f>
        <v>12.03479037</v>
      </c>
    </row>
    <row r="8">
      <c r="A8" s="3" t="s">
        <v>8</v>
      </c>
      <c r="B8" s="5">
        <f>Data!K6</f>
        <v>4.386240193</v>
      </c>
      <c r="C8" s="5">
        <f>Data!L6</f>
        <v>0.8438733648</v>
      </c>
      <c r="D8" s="5">
        <f>Data!J6</f>
        <v>6.043405676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16.63"/>
  </cols>
  <sheetData>
    <row r="1">
      <c r="A1" s="1" t="s">
        <v>49</v>
      </c>
    </row>
    <row r="2">
      <c r="A2" s="22" t="s">
        <v>51</v>
      </c>
      <c r="D2" s="24" t="s">
        <v>52</v>
      </c>
    </row>
    <row r="4">
      <c r="A4" s="27" t="s">
        <v>1</v>
      </c>
      <c r="B4" s="27" t="s">
        <v>61</v>
      </c>
      <c r="C4" s="27" t="s">
        <v>14</v>
      </c>
      <c r="D4" s="27" t="s">
        <v>2</v>
      </c>
      <c r="E4" s="27" t="s">
        <v>64</v>
      </c>
      <c r="F4" s="27" t="s">
        <v>66</v>
      </c>
      <c r="G4" s="27" t="s">
        <v>67</v>
      </c>
      <c r="H4" s="27" t="s">
        <v>26</v>
      </c>
    </row>
    <row r="5">
      <c r="A5" s="27" t="s">
        <v>5</v>
      </c>
      <c r="B5" s="28" t="s">
        <v>70</v>
      </c>
      <c r="C5" s="29">
        <v>0.291531312842852</v>
      </c>
      <c r="D5" s="29">
        <v>26.2464867362261</v>
      </c>
      <c r="E5" s="30">
        <v>21.2928593284087</v>
      </c>
      <c r="F5" s="30">
        <v>15.3195502662932</v>
      </c>
      <c r="G5" s="30">
        <v>4.03554808637464</v>
      </c>
      <c r="H5" s="29">
        <v>4.12898357975894</v>
      </c>
    </row>
    <row r="6">
      <c r="A6" s="27" t="s">
        <v>6</v>
      </c>
      <c r="B6" s="28" t="s">
        <v>71</v>
      </c>
      <c r="C6" s="29">
        <v>1.86991351649985</v>
      </c>
      <c r="D6" s="29">
        <v>24.106377819093</v>
      </c>
      <c r="E6" s="30">
        <v>28.9101611340505</v>
      </c>
      <c r="F6" s="30">
        <v>21.8682772409368</v>
      </c>
      <c r="G6" s="30">
        <v>7.90399620333326</v>
      </c>
      <c r="H6" s="29">
        <v>1.39763627726246</v>
      </c>
    </row>
    <row r="7">
      <c r="A7" s="27" t="s">
        <v>7</v>
      </c>
      <c r="B7" s="28" t="s">
        <v>72</v>
      </c>
      <c r="C7" s="29">
        <v>2.25466501186666</v>
      </c>
      <c r="D7" s="29">
        <v>22.1975418332593</v>
      </c>
      <c r="E7" s="30">
        <v>22.8158473941748</v>
      </c>
      <c r="F7" s="30">
        <v>14.8311155622467</v>
      </c>
      <c r="G7" s="30">
        <v>2.0016245145382</v>
      </c>
      <c r="H7" s="29">
        <v>4.08079500655656</v>
      </c>
    </row>
    <row r="8">
      <c r="A8" s="27" t="s">
        <v>4</v>
      </c>
      <c r="B8" s="28" t="s">
        <v>73</v>
      </c>
      <c r="C8" s="29">
        <v>1.39794040097507</v>
      </c>
      <c r="D8" s="29">
        <v>57.827868852459</v>
      </c>
      <c r="E8" s="30">
        <v>33.191851467167</v>
      </c>
      <c r="F8" s="30">
        <v>19.5902506450961</v>
      </c>
      <c r="G8" s="30">
        <v>3.47193736277107</v>
      </c>
      <c r="H8" s="29">
        <v>5.13530501889895</v>
      </c>
    </row>
    <row r="9">
      <c r="A9" s="27" t="s">
        <v>8</v>
      </c>
      <c r="B9" s="28" t="s">
        <v>74</v>
      </c>
      <c r="C9" s="29">
        <v>5.75176312395378</v>
      </c>
      <c r="D9" s="29">
        <v>7.95307247841466</v>
      </c>
      <c r="E9" s="30">
        <v>31.910306624235</v>
      </c>
      <c r="F9" s="30">
        <v>19.8366849261718</v>
      </c>
      <c r="G9" s="30">
        <v>2.02953425373018</v>
      </c>
      <c r="H9" s="29">
        <v>4.13618539171939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5.88"/>
    <col customWidth="1" min="6" max="6" width="13.75"/>
    <col customWidth="1" min="7" max="7" width="15.88"/>
    <col customWidth="1" min="8" max="8" width="14.75"/>
    <col customWidth="1" min="13" max="13" width="19.38"/>
    <col customWidth="1" min="14" max="14" width="20.5"/>
    <col customWidth="1" min="15" max="15" width="17.25"/>
    <col customWidth="1" min="16" max="16" width="13.38"/>
  </cols>
  <sheetData>
    <row r="1">
      <c r="A1" s="1" t="s">
        <v>29</v>
      </c>
    </row>
    <row r="3">
      <c r="A3" s="2" t="s">
        <v>1</v>
      </c>
      <c r="B3" s="2" t="s">
        <v>14</v>
      </c>
      <c r="C3" s="2" t="s">
        <v>15</v>
      </c>
      <c r="D3" s="2" t="s">
        <v>2</v>
      </c>
      <c r="E3" s="2" t="s">
        <v>17</v>
      </c>
      <c r="F3" s="2" t="s">
        <v>3</v>
      </c>
      <c r="G3" s="2" t="s">
        <v>12</v>
      </c>
      <c r="H3" s="2" t="s">
        <v>10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14" t="s">
        <v>37</v>
      </c>
      <c r="Q3" s="14" t="s">
        <v>38</v>
      </c>
    </row>
    <row r="4">
      <c r="A4" s="2" t="s">
        <v>4</v>
      </c>
      <c r="B4" s="4">
        <f>Data!C2</f>
        <v>1.397940401</v>
      </c>
      <c r="C4" s="4">
        <f>Data!D2</f>
        <v>20.76832499</v>
      </c>
      <c r="D4" s="4">
        <f>Data!H2</f>
        <v>57.82786885</v>
      </c>
      <c r="E4" s="4">
        <f>Data!F2</f>
        <v>17.82945736</v>
      </c>
      <c r="F4" s="5">
        <f>Data!I2</f>
        <v>1.248132272</v>
      </c>
      <c r="G4" s="5">
        <f>Data!J2</f>
        <v>15.85393258</v>
      </c>
      <c r="H4" s="5">
        <f>Data!K2</f>
        <v>2.162285137</v>
      </c>
      <c r="I4" s="19">
        <f t="shared" ref="I4:I8" si="1">RANK(B4,$B$4:$B$8,0)</f>
        <v>4</v>
      </c>
      <c r="J4" s="19">
        <f t="shared" ref="J4:J8" si="2">RANK(C4,$C$4:$C$8,0)</f>
        <v>3</v>
      </c>
      <c r="K4" s="19">
        <f t="shared" ref="K4:K8" si="3">RANK(D4,$D$4:$D$8,0)</f>
        <v>1</v>
      </c>
      <c r="L4" s="19">
        <f t="shared" ref="L4:L8" si="4">RANK(E4,$E$4:$E$8,0)</f>
        <v>1</v>
      </c>
      <c r="M4" s="19">
        <f t="shared" ref="M4:M8" si="5">RANK(F4,$F$4:$F$8,0)</f>
        <v>1</v>
      </c>
      <c r="N4" s="19">
        <f t="shared" ref="N4:N8" si="6">RANK(G4,$G$4:$G$8,0)</f>
        <v>2</v>
      </c>
      <c r="O4" s="19">
        <f t="shared" ref="O4:O8" si="7">RANK(H4,$H$4:$H$8,1)</f>
        <v>2</v>
      </c>
      <c r="P4" s="19">
        <f t="shared" ref="P4:P8" si="8">AVERAGE(I4:O4)</f>
        <v>2</v>
      </c>
      <c r="Q4" s="19">
        <f t="shared" ref="Q4:Q8" si="9">RANK(P4,$P$4:$P$8,1)</f>
        <v>1</v>
      </c>
    </row>
    <row r="5">
      <c r="A5" s="2" t="s">
        <v>5</v>
      </c>
      <c r="B5" s="4">
        <f>Data!C3</f>
        <v>0.2915313128</v>
      </c>
      <c r="C5" s="4">
        <f>Data!D3</f>
        <v>24.26439182</v>
      </c>
      <c r="D5" s="4">
        <f>Data!H3</f>
        <v>26.24648674</v>
      </c>
      <c r="E5" s="4">
        <f>Data!F3</f>
        <v>16.66271178</v>
      </c>
      <c r="F5" s="5">
        <f>Data!I3</f>
        <v>0.6730282438</v>
      </c>
      <c r="G5" s="5">
        <f>Data!J3</f>
        <v>22.54796031</v>
      </c>
      <c r="H5" s="5">
        <f>Data!K3</f>
        <v>1.482504912</v>
      </c>
      <c r="I5" s="19">
        <f t="shared" si="1"/>
        <v>5</v>
      </c>
      <c r="J5" s="19">
        <f t="shared" si="2"/>
        <v>2</v>
      </c>
      <c r="K5" s="19">
        <f t="shared" si="3"/>
        <v>2</v>
      </c>
      <c r="L5" s="19">
        <f t="shared" si="4"/>
        <v>2</v>
      </c>
      <c r="M5" s="19">
        <f t="shared" si="5"/>
        <v>3</v>
      </c>
      <c r="N5" s="19">
        <f t="shared" si="6"/>
        <v>1</v>
      </c>
      <c r="O5" s="19">
        <f t="shared" si="7"/>
        <v>1</v>
      </c>
      <c r="P5" s="31">
        <f t="shared" si="8"/>
        <v>2.285714286</v>
      </c>
      <c r="Q5" s="19">
        <f t="shared" si="9"/>
        <v>2</v>
      </c>
    </row>
    <row r="6">
      <c r="A6" s="2" t="s">
        <v>6</v>
      </c>
      <c r="B6" s="4">
        <f>Data!C4</f>
        <v>1.869913516</v>
      </c>
      <c r="C6" s="4">
        <f>Data!D4</f>
        <v>31.10281388</v>
      </c>
      <c r="D6" s="4">
        <f>Data!H4</f>
        <v>24.10637782</v>
      </c>
      <c r="E6" s="4">
        <f>Data!F4</f>
        <v>11.04691183</v>
      </c>
      <c r="F6" s="5">
        <f>Data!I4</f>
        <v>0.4573824607</v>
      </c>
      <c r="G6" s="5">
        <f>Data!J4</f>
        <v>9.015114873</v>
      </c>
      <c r="H6" s="5">
        <f>Data!K4</f>
        <v>2.432467116</v>
      </c>
      <c r="I6" s="19">
        <f t="shared" si="1"/>
        <v>3</v>
      </c>
      <c r="J6" s="19">
        <f t="shared" si="2"/>
        <v>1</v>
      </c>
      <c r="K6" s="19">
        <f t="shared" si="3"/>
        <v>3</v>
      </c>
      <c r="L6" s="19">
        <f t="shared" si="4"/>
        <v>3</v>
      </c>
      <c r="M6" s="19">
        <f t="shared" si="5"/>
        <v>5</v>
      </c>
      <c r="N6" s="19">
        <f t="shared" si="6"/>
        <v>4</v>
      </c>
      <c r="O6" s="19">
        <f t="shared" si="7"/>
        <v>3</v>
      </c>
      <c r="P6" s="31">
        <f t="shared" si="8"/>
        <v>3.142857143</v>
      </c>
      <c r="Q6" s="19">
        <f t="shared" si="9"/>
        <v>3</v>
      </c>
    </row>
    <row r="7">
      <c r="A7" s="2" t="s">
        <v>7</v>
      </c>
      <c r="B7" s="4">
        <f>Data!C5</f>
        <v>2.254665012</v>
      </c>
      <c r="C7" s="4">
        <f>Data!D5</f>
        <v>14.36358797</v>
      </c>
      <c r="D7" s="4">
        <f>Data!H5</f>
        <v>22.19754183</v>
      </c>
      <c r="E7" s="4">
        <f>Data!F5</f>
        <v>8.168219324</v>
      </c>
      <c r="F7" s="5">
        <f>Data!I5</f>
        <v>0.8745425935</v>
      </c>
      <c r="G7" s="5">
        <f>Data!J5</f>
        <v>12.03479037</v>
      </c>
      <c r="H7" s="5">
        <f>Data!K5</f>
        <v>3.210512771</v>
      </c>
      <c r="I7" s="19">
        <f t="shared" si="1"/>
        <v>2</v>
      </c>
      <c r="J7" s="19">
        <f t="shared" si="2"/>
        <v>4</v>
      </c>
      <c r="K7" s="19">
        <f t="shared" si="3"/>
        <v>4</v>
      </c>
      <c r="L7" s="19">
        <f t="shared" si="4"/>
        <v>5</v>
      </c>
      <c r="M7" s="19">
        <f t="shared" si="5"/>
        <v>2</v>
      </c>
      <c r="N7" s="19">
        <f t="shared" si="6"/>
        <v>3</v>
      </c>
      <c r="O7" s="19">
        <f t="shared" si="7"/>
        <v>4</v>
      </c>
      <c r="P7" s="31">
        <f t="shared" si="8"/>
        <v>3.428571429</v>
      </c>
      <c r="Q7" s="19">
        <f t="shared" si="9"/>
        <v>4</v>
      </c>
    </row>
    <row r="8">
      <c r="A8" s="2" t="s">
        <v>8</v>
      </c>
      <c r="B8" s="4">
        <f>Data!C6</f>
        <v>5.751763124</v>
      </c>
      <c r="C8" s="4">
        <f>Data!D6</f>
        <v>9.393569816</v>
      </c>
      <c r="D8" s="4">
        <f>Data!H6</f>
        <v>7.953072478</v>
      </c>
      <c r="E8" s="4">
        <f>Data!F6</f>
        <v>8.394529932</v>
      </c>
      <c r="F8" s="5">
        <f>Data!I6</f>
        <v>0.539077035</v>
      </c>
      <c r="G8" s="5">
        <f>Data!J6</f>
        <v>6.043405676</v>
      </c>
      <c r="H8" s="5">
        <f>Data!K6</f>
        <v>4.386240193</v>
      </c>
      <c r="I8" s="19">
        <f t="shared" si="1"/>
        <v>1</v>
      </c>
      <c r="J8" s="19">
        <f t="shared" si="2"/>
        <v>5</v>
      </c>
      <c r="K8" s="19">
        <f t="shared" si="3"/>
        <v>5</v>
      </c>
      <c r="L8" s="19">
        <f t="shared" si="4"/>
        <v>4</v>
      </c>
      <c r="M8" s="19">
        <f t="shared" si="5"/>
        <v>4</v>
      </c>
      <c r="N8" s="19">
        <f t="shared" si="6"/>
        <v>5</v>
      </c>
      <c r="O8" s="19">
        <f t="shared" si="7"/>
        <v>5</v>
      </c>
      <c r="P8" s="31">
        <f t="shared" si="8"/>
        <v>4.142857143</v>
      </c>
      <c r="Q8" s="19">
        <f t="shared" si="9"/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3" max="3" width="17.75"/>
    <col customWidth="1" min="4" max="4" width="14.25"/>
    <col customWidth="1" min="9" max="9" width="17.13"/>
    <col customWidth="1" min="10" max="10" width="17.75"/>
    <col customWidth="1" min="11" max="11" width="16.5"/>
    <col customWidth="1" min="12" max="12" width="15.63"/>
  </cols>
  <sheetData>
    <row r="1">
      <c r="A1" s="27" t="s">
        <v>1</v>
      </c>
      <c r="B1" s="27" t="s">
        <v>61</v>
      </c>
      <c r="C1" s="27" t="s">
        <v>14</v>
      </c>
      <c r="D1" s="27" t="s">
        <v>15</v>
      </c>
      <c r="E1" s="27" t="s">
        <v>16</v>
      </c>
      <c r="F1" s="27" t="s">
        <v>17</v>
      </c>
      <c r="G1" s="27" t="s">
        <v>75</v>
      </c>
      <c r="H1" s="27" t="s">
        <v>2</v>
      </c>
      <c r="I1" s="27" t="s">
        <v>3</v>
      </c>
      <c r="J1" s="27" t="s">
        <v>12</v>
      </c>
      <c r="K1" s="27" t="s">
        <v>76</v>
      </c>
      <c r="L1" s="27" t="s">
        <v>77</v>
      </c>
      <c r="M1" s="27" t="s">
        <v>38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7" t="s">
        <v>4</v>
      </c>
      <c r="B2" s="28" t="s">
        <v>73</v>
      </c>
      <c r="C2" s="29">
        <v>1.39794040097507</v>
      </c>
      <c r="D2" s="29">
        <v>20.7683249926406</v>
      </c>
      <c r="E2" s="29">
        <v>10.4602099892062</v>
      </c>
      <c r="F2" s="29">
        <v>17.8294573643411</v>
      </c>
      <c r="G2" s="29">
        <v>3948.14814814815</v>
      </c>
      <c r="H2" s="29">
        <v>57.827868852459</v>
      </c>
      <c r="I2" s="29">
        <v>1.24813227189222</v>
      </c>
      <c r="J2" s="29">
        <v>15.8539325842697</v>
      </c>
      <c r="K2" s="29">
        <v>2.16228513650152</v>
      </c>
      <c r="L2" s="29">
        <v>158.407407407407</v>
      </c>
      <c r="M2" s="28">
        <v>1.0</v>
      </c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27" t="s">
        <v>5</v>
      </c>
      <c r="B3" s="28" t="s">
        <v>70</v>
      </c>
      <c r="C3" s="29">
        <v>0.291531312842852</v>
      </c>
      <c r="D3" s="29">
        <v>24.2643918181387</v>
      </c>
      <c r="E3" s="29">
        <v>18.9525888662142</v>
      </c>
      <c r="F3" s="29">
        <v>16.6627117839685</v>
      </c>
      <c r="G3" s="29">
        <v>30.7121433515343</v>
      </c>
      <c r="H3" s="29">
        <v>26.2464867362261</v>
      </c>
      <c r="I3" s="29">
        <v>0.673028243805448</v>
      </c>
      <c r="J3" s="29">
        <v>22.54796030871</v>
      </c>
      <c r="K3" s="29">
        <v>1.48250491200201</v>
      </c>
      <c r="L3" s="29">
        <v>0.681823425363378</v>
      </c>
      <c r="M3" s="28">
        <v>2.0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27" t="s">
        <v>6</v>
      </c>
      <c r="B4" s="28" t="s">
        <v>71</v>
      </c>
      <c r="C4" s="29">
        <v>1.86991351649985</v>
      </c>
      <c r="D4" s="29">
        <v>31.1028138753885</v>
      </c>
      <c r="E4" s="29">
        <v>27.3398552387309</v>
      </c>
      <c r="F4" s="29">
        <v>11.0469118291233</v>
      </c>
      <c r="G4" s="29">
        <v>40.7441947216264</v>
      </c>
      <c r="H4" s="29">
        <v>24.106377819093</v>
      </c>
      <c r="I4" s="29">
        <v>0.457382460693024</v>
      </c>
      <c r="J4" s="29">
        <v>9.01511487303507</v>
      </c>
      <c r="K4" s="29">
        <v>2.43246711581649</v>
      </c>
      <c r="L4" s="29">
        <v>1.41415648605801</v>
      </c>
      <c r="M4" s="28">
        <v>3.0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27" t="s">
        <v>7</v>
      </c>
      <c r="B5" s="28" t="s">
        <v>72</v>
      </c>
      <c r="C5" s="29">
        <v>2.25466501186666</v>
      </c>
      <c r="D5" s="29">
        <v>14.3635879691243</v>
      </c>
      <c r="E5" s="29">
        <v>8.77295714665957</v>
      </c>
      <c r="F5" s="29">
        <v>8.16821932392867</v>
      </c>
      <c r="G5" s="29">
        <v>40.3802803097128</v>
      </c>
      <c r="H5" s="29">
        <v>22.1975418332593</v>
      </c>
      <c r="I5" s="29">
        <v>0.874542593506457</v>
      </c>
      <c r="J5" s="29">
        <v>12.0347903657449</v>
      </c>
      <c r="K5" s="29">
        <v>3.21051277102233</v>
      </c>
      <c r="L5" s="29">
        <v>2.44540821327061</v>
      </c>
      <c r="M5" s="28">
        <v>4.0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27" t="s">
        <v>8</v>
      </c>
      <c r="B6" s="28" t="s">
        <v>74</v>
      </c>
      <c r="C6" s="29">
        <v>5.75176312395378</v>
      </c>
      <c r="D6" s="29">
        <v>9.39356981602097</v>
      </c>
      <c r="E6" s="29">
        <v>6.36012144173132</v>
      </c>
      <c r="F6" s="29">
        <v>8.39452993227288</v>
      </c>
      <c r="G6" s="29">
        <v>9.48602833036613</v>
      </c>
      <c r="H6" s="29">
        <v>7.95307247841466</v>
      </c>
      <c r="I6" s="29">
        <v>0.539077034985382</v>
      </c>
      <c r="J6" s="29">
        <v>6.04340567612688</v>
      </c>
      <c r="K6" s="29">
        <v>4.3862401931201</v>
      </c>
      <c r="L6" s="29">
        <v>0.843873364811518</v>
      </c>
      <c r="M6" s="28">
        <v>5.0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33" t="s">
        <v>78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1" t="s">
        <v>79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18" t="s">
        <v>80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14" t="s">
        <v>81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13" t="s">
        <v>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13" t="s">
        <v>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13" t="s">
        <v>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13" t="s">
        <v>7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13" t="s">
        <v>8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1" t="s">
        <v>82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18" t="s">
        <v>83</v>
      </c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18" t="s">
        <v>84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32"/>
      <c r="S15" s="32"/>
      <c r="T15" s="32"/>
      <c r="U15" s="32"/>
      <c r="V15" s="32"/>
      <c r="W15" s="32"/>
      <c r="X15" s="32"/>
      <c r="Y15" s="32"/>
      <c r="Z15" s="32"/>
    </row>
    <row r="16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1" t="s">
        <v>85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18" t="s">
        <v>86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4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1" t="s">
        <v>87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18" t="s">
        <v>88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1" t="s">
        <v>89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9" t="s">
        <v>90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9" t="s">
        <v>91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9" t="s">
        <v>92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9" t="s">
        <v>93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</sheetData>
  <mergeCells count="9">
    <mergeCell ref="A26:G26"/>
    <mergeCell ref="A27:G27"/>
    <mergeCell ref="A1:F1"/>
    <mergeCell ref="A4:I4"/>
    <mergeCell ref="A14:Q14"/>
    <mergeCell ref="A18:J18"/>
    <mergeCell ref="A21:I21"/>
    <mergeCell ref="A24:G24"/>
    <mergeCell ref="A25:G25"/>
  </mergeCells>
  <drawing r:id="rId1"/>
</worksheet>
</file>